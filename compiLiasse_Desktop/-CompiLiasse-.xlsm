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std\source\repos\compiLiasse_Console\compiLiasse_Console\"/>
    </mc:Choice>
  </mc:AlternateContent>
  <xr:revisionPtr revIDLastSave="0" documentId="8_{D07097C2-1745-4747-963E-54EDA0E5E4BB}" xr6:coauthVersionLast="47" xr6:coauthVersionMax="47" xr10:uidLastSave="{00000000-0000-0000-0000-000000000000}"/>
  <bookViews>
    <workbookView xWindow="-17925" yWindow="-12645" windowWidth="17850" windowHeight="13905" xr2:uid="{8202DDBB-E944-4CA3-A4A7-D482AA45CCD0}"/>
  </bookViews>
  <sheets>
    <sheet name="Application" sheetId="1" r:id="rId1"/>
    <sheet name="Paramètres" sheetId="2" r:id="rId2"/>
  </sheets>
  <functionGroups builtInGroupCount="19"/>
  <definedNames>
    <definedName name="_Hlk69048260" localSheetId="1">Paramètres!$G$6</definedName>
    <definedName name="_Hlk69048309" localSheetId="1">Paramètres!$G$8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1" l="1"/>
  <c r="A29" i="1"/>
  <c r="K29" i="1" s="1"/>
  <c r="E8" i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K22" i="1" s="1"/>
  <c r="A23" i="1"/>
  <c r="K23" i="1" s="1"/>
  <c r="A24" i="1"/>
  <c r="K24" i="1" s="1"/>
  <c r="A25" i="1"/>
  <c r="K25" i="1" s="1"/>
  <c r="A26" i="1"/>
  <c r="K26" i="1" s="1"/>
  <c r="A27" i="1"/>
  <c r="K27" i="1" s="1"/>
  <c r="A28" i="1"/>
  <c r="K28" i="1" s="1"/>
  <c r="A8" i="1"/>
  <c r="E24" i="1"/>
  <c r="E25" i="1"/>
  <c r="E26" i="1"/>
  <c r="E27" i="1"/>
  <c r="E28" i="1"/>
  <c r="E29" i="1" s="1"/>
  <c r="K21" i="1" l="1"/>
  <c r="K18" i="1"/>
  <c r="K20" i="1"/>
  <c r="K17" i="1"/>
  <c r="K19" i="1"/>
  <c r="K14" i="1"/>
  <c r="K15" i="1"/>
  <c r="K16" i="1"/>
  <c r="K13" i="1"/>
  <c r="K12" i="1"/>
  <c r="K10" i="1"/>
  <c r="K9" i="1"/>
  <c r="K11" i="1"/>
  <c r="K8" i="1"/>
</calcChain>
</file>

<file path=xl/sharedStrings.xml><?xml version="1.0" encoding="utf-8"?>
<sst xmlns="http://schemas.openxmlformats.org/spreadsheetml/2006/main" count="277" uniqueCount="99">
  <si>
    <t>Nom</t>
  </si>
  <si>
    <t>Fichier</t>
  </si>
  <si>
    <t>Racine (Fixe)</t>
  </si>
  <si>
    <t>E:\Client ISOC\</t>
  </si>
  <si>
    <t>Client (Variable)</t>
  </si>
  <si>
    <t>SLB INVEST SPRL</t>
  </si>
  <si>
    <t>\1-BILANS\</t>
  </si>
  <si>
    <t>\6 DOC ENVOI CLIENT</t>
  </si>
  <si>
    <t>\2 ISOC ANNEXES ENVOI BIZTAX</t>
  </si>
  <si>
    <t>\1 DOC DE TRAVAIL</t>
  </si>
  <si>
    <t>\1 DOC DE TRAVAIL\5- CONCORDANCE SALAIRE ET FICHES</t>
  </si>
  <si>
    <t>\1 DOC DE TRAVAIL\1-ATN AUTO</t>
  </si>
  <si>
    <t>\5 PRINT KLUWER</t>
  </si>
  <si>
    <t>Dossier Intermédiaire (Fixe)</t>
  </si>
  <si>
    <t>Année (Variable)</t>
  </si>
  <si>
    <t>Dossier Final (Fixe)</t>
  </si>
  <si>
    <t>Nom du Fichier (Variable + Référence)</t>
  </si>
  <si>
    <t>Nom Table des Matières</t>
  </si>
  <si>
    <t>Bilan, Compte de Résultats et Affectations</t>
  </si>
  <si>
    <t>Bilan comparé</t>
  </si>
  <si>
    <t>Concordance TVA Chiffre d'Affaires</t>
  </si>
  <si>
    <t>Synthèse Secrétariat Social</t>
  </si>
  <si>
    <t>Avantage de Toute Nature</t>
  </si>
  <si>
    <t>Détail des Dépenses Non Admises</t>
  </si>
  <si>
    <t>Prévision Fiscale</t>
  </si>
  <si>
    <t>Rapport Conseil d'Administration et P.V. Assemblée Générale</t>
  </si>
  <si>
    <t>Copie registre UBO</t>
  </si>
  <si>
    <t>Infos Pro Fisco</t>
  </si>
  <si>
    <t>Détail de certains Comptes</t>
  </si>
  <si>
    <t>Concordance Salariale</t>
  </si>
  <si>
    <t>Tableau d’Amortissements</t>
  </si>
  <si>
    <t>Page Num</t>
  </si>
  <si>
    <t>Liste des Fichiers INEXISTANTS</t>
  </si>
  <si>
    <t>Variable</t>
  </si>
  <si>
    <t>Extension</t>
  </si>
  <si>
    <t>Référence</t>
  </si>
  <si>
    <t>BILAN COMPARE</t>
  </si>
  <si>
    <t>BILAN INTERNE</t>
  </si>
  <si>
    <t>AMORTISSEMENTS</t>
  </si>
  <si>
    <t>CONCORDANCE TVA</t>
  </si>
  <si>
    <t>CONCORDANCE SALARIALE</t>
  </si>
  <si>
    <t>SYNTHESE SECRETARIAT SOCIAL</t>
  </si>
  <si>
    <t>INFOS PROFISCO</t>
  </si>
  <si>
    <t>ATN AUTO</t>
  </si>
  <si>
    <t>DNA</t>
  </si>
  <si>
    <t>CALCUL ISOC</t>
  </si>
  <si>
    <t>CONFIRMATION UBO</t>
  </si>
  <si>
    <t>Index</t>
  </si>
  <si>
    <t>Le Nom du Fichier doit OBLIGATOIREMENT contenir :</t>
  </si>
  <si>
    <t>Liste des Fichiers EXISTANTS</t>
  </si>
  <si>
    <t>Lien vers le fichier final "Dossier PDF Comp.pdf"</t>
  </si>
  <si>
    <t>TABLE MATIERES BILAN</t>
  </si>
  <si>
    <t>Entête Bilan J.B.L</t>
  </si>
  <si>
    <t>Table des Matières</t>
  </si>
  <si>
    <t>VIDE</t>
  </si>
  <si>
    <t>Template TM</t>
  </si>
  <si>
    <t>.docx</t>
  </si>
  <si>
    <t>Fichier Template vide pour Table des Matières</t>
  </si>
  <si>
    <t>Fichier PDF de convertion du fichier TM.docx</t>
  </si>
  <si>
    <t>Fichier final compilé pour client format PDF</t>
  </si>
  <si>
    <t>TM Temporaire</t>
  </si>
  <si>
    <t>.pdf</t>
  </si>
  <si>
    <t>Chemin de base des Dossiers</t>
  </si>
  <si>
    <t>RAPPORT CLIENT</t>
  </si>
  <si>
    <t>DETAIL COMPTE1</t>
  </si>
  <si>
    <t>DETAIL COMPTE2</t>
  </si>
  <si>
    <t>DETAIL COMPTE3</t>
  </si>
  <si>
    <t>DETAIL COMPTE4</t>
  </si>
  <si>
    <t>DETAIL COMPTE5</t>
  </si>
  <si>
    <t>DETAIL COMPTE6</t>
  </si>
  <si>
    <t>DETAIL COMPTE7</t>
  </si>
  <si>
    <t>DETAIL COMPTE8</t>
  </si>
  <si>
    <t>Dossier à traiter (Client ISOC\ ***CLIENT*** \1-BILANS\ ***ANNEE***)</t>
  </si>
  <si>
    <t>***</t>
  </si>
  <si>
    <t>Lien vers le fichier Table des Matières "TABLE MATIERES BILAN.docx" :</t>
  </si>
  <si>
    <t>E:\Client ISOC</t>
  </si>
  <si>
    <t>E:\RAPPORTS TYPE\TM_Automatique</t>
  </si>
  <si>
    <t>ENTETEbilan</t>
  </si>
  <si>
    <t>CA_RG_AGO</t>
  </si>
  <si>
    <t>\8 CA AG RG</t>
  </si>
  <si>
    <t>ENTETEbilan 2020.doc.pdf</t>
  </si>
  <si>
    <t>TRANSVERSALE - BILAN COMPARE 31122020.pdf</t>
  </si>
  <si>
    <t>2 - TRANSVERSALE - BILAN INTERNE 31122020.pdf</t>
  </si>
  <si>
    <t>1 - TRANSVERSALE - AMORTISSEMENTS 31122020.pdf</t>
  </si>
  <si>
    <t>TRANSVERSALE - CONCORDANCE TVA 31122020.pdf</t>
  </si>
  <si>
    <t>TRANSVERSALE - CONCORDANCE SALARIALE 31122020.pdf</t>
  </si>
  <si>
    <t>TRANSVERSALE - SYNTHESE SECRETARIAT SOCIAL 31122020.pdf</t>
  </si>
  <si>
    <t>TRANSVERSALE - DETAIL COMPTE1 444000.pdf</t>
  </si>
  <si>
    <t>TRANSVERSALE - DETAIL COMPTE2 490000.pdf</t>
  </si>
  <si>
    <t>TRANSVERSALE - INFOS PROFISCO 31122020.pdf</t>
  </si>
  <si>
    <t>NOM DU DOSSIER - ATN AUTO JJMMAAAA.pdf</t>
  </si>
  <si>
    <t>TRANSVERSALE - DNA 31122020.pdf</t>
  </si>
  <si>
    <t>TRANSVERSALE - CALCUL ISOC 31122020.pdf</t>
  </si>
  <si>
    <t>TRANSVERSALE - CA_RG_AGO 31122020.pdf</t>
  </si>
  <si>
    <t>TRANSVERSALE - CONFIRMATION UBO 31122020.pdf</t>
  </si>
  <si>
    <t>TM Temporaire.pdf</t>
  </si>
  <si>
    <t>NE PAS ECRIRE DANS LA CELLULE D1</t>
  </si>
  <si>
    <t>-CompiLiasse-</t>
  </si>
  <si>
    <t>V1.0-Purple-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</si>
</sst>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Nbr Pages&quot;\ 0"/>
  </numFmts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Segoe UI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4"/>
      <color theme="5" tint="-0.499984740745262"/>
      <name val="Impact"/>
      <family val="2"/>
    </font>
    <font>
      <sz val="12"/>
      <color theme="5" tint="-0.499984740745262"/>
      <name val="Impact"/>
      <family val="2"/>
    </font>
    <font>
      <sz val="11"/>
      <color theme="5" tint="0.79998168889431442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5" tint="0.3999755851924192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49998474074526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61">
    <xf numFmtId="0" fontId="0" fillId="0" borderId="0" xfId="0"/>
    <xf numFmtId="0" fontId="0" fillId="3" borderId="3" xfId="0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0" fillId="3" borderId="10" xfId="0" applyFill="1" applyBorder="1" applyProtection="1"/>
    <xf numFmtId="0" fontId="0" fillId="4" borderId="0" xfId="0" applyFill="1" applyProtection="1"/>
    <xf numFmtId="0" fontId="3" fillId="4" borderId="0" xfId="0" applyFont="1" applyFill="1" applyProtection="1"/>
    <xf numFmtId="0" fontId="0" fillId="5" borderId="1" xfId="0" applyFill="1" applyBorder="1" applyProtection="1"/>
    <xf numFmtId="0" fontId="0" fillId="5" borderId="2" xfId="0" applyFill="1" applyBorder="1" applyProtection="1"/>
    <xf numFmtId="0" fontId="0" fillId="5" borderId="6" xfId="0" applyFill="1" applyBorder="1" applyProtection="1"/>
    <xf numFmtId="0" fontId="0" fillId="5" borderId="8" xfId="0" applyFill="1" applyBorder="1" applyProtection="1"/>
    <xf numFmtId="0" fontId="0" fillId="5" borderId="7" xfId="0" applyFill="1" applyBorder="1" applyProtection="1"/>
    <xf numFmtId="0" fontId="0" fillId="5" borderId="9" xfId="0" applyFill="1" applyBorder="1" applyProtection="1"/>
    <xf numFmtId="0" fontId="0" fillId="6" borderId="3" xfId="0" applyFill="1" applyBorder="1" applyProtection="1"/>
    <xf numFmtId="0" fontId="0" fillId="6" borderId="4" xfId="0" applyFill="1" applyBorder="1" applyProtection="1"/>
    <xf numFmtId="0" fontId="0" fillId="6" borderId="5" xfId="0" applyFill="1" applyBorder="1" applyProtection="1"/>
    <xf numFmtId="0" fontId="0" fillId="6" borderId="10" xfId="0" applyFill="1" applyBorder="1" applyProtection="1"/>
    <xf numFmtId="0" fontId="0" fillId="7" borderId="10" xfId="0" applyFill="1" applyBorder="1" applyProtection="1"/>
    <xf numFmtId="164" fontId="0" fillId="7" borderId="10" xfId="0" applyNumberFormat="1" applyFill="1" applyBorder="1" applyProtection="1"/>
    <xf numFmtId="0" fontId="0" fillId="7" borderId="1" xfId="0" applyFill="1" applyBorder="1" applyAlignment="1" applyProtection="1">
      <alignment horizontal="right" vertical="center"/>
    </xf>
    <xf numFmtId="0" fontId="0" fillId="7" borderId="11" xfId="0" applyFill="1" applyBorder="1" applyAlignment="1" applyProtection="1">
      <alignment horizontal="right" vertical="center"/>
    </xf>
    <xf numFmtId="0" fontId="0" fillId="7" borderId="2" xfId="0" applyFill="1" applyBorder="1" applyAlignment="1" applyProtection="1">
      <alignment horizontal="right" vertical="center"/>
    </xf>
    <xf numFmtId="0" fontId="0" fillId="3" borderId="10" xfId="0" applyFill="1" applyBorder="1" applyAlignment="1" applyProtection="1">
      <alignment horizontal="center"/>
    </xf>
    <xf numFmtId="0" fontId="5" fillId="6" borderId="12" xfId="0" quotePrefix="1" applyFont="1" applyFill="1" applyBorder="1" applyAlignment="1" applyProtection="1">
      <alignment horizontal="right"/>
    </xf>
    <xf numFmtId="0" fontId="6" fillId="6" borderId="13" xfId="0" quotePrefix="1" applyFont="1" applyFill="1" applyBorder="1" applyAlignment="1" applyProtection="1">
      <alignment horizontal="left"/>
    </xf>
    <xf numFmtId="0" fontId="7" fillId="4" borderId="0" xfId="0" applyFont="1" applyFill="1" applyAlignment="1" applyProtection="1">
      <alignment horizontal="fill"/>
      <protection hidden="1"/>
    </xf>
    <xf numFmtId="0" fontId="7" fillId="4" borderId="0" xfId="0" applyFont="1" applyFill="1" applyProtection="1">
      <protection hidden="1"/>
    </xf>
    <xf numFmtId="0" fontId="4" fillId="3" borderId="3" xfId="1" applyFill="1" applyBorder="1" applyProtection="1"/>
    <xf numFmtId="0" fontId="0" fillId="6" borderId="0" xfId="0" applyFill="1" applyProtection="1"/>
    <xf numFmtId="0" fontId="3" fillId="6" borderId="0" xfId="0" applyFont="1" applyFill="1" applyProtection="1"/>
    <xf numFmtId="0" fontId="9" fillId="6" borderId="0" xfId="0" applyFont="1" applyFill="1" applyProtection="1"/>
    <xf numFmtId="0" fontId="3" fillId="2" borderId="12" xfId="0" applyFont="1" applyFill="1" applyBorder="1" applyProtection="1"/>
    <xf numFmtId="0" fontId="3" fillId="2" borderId="15" xfId="0" applyFont="1" applyFill="1" applyBorder="1" applyProtection="1"/>
    <xf numFmtId="0" fontId="3" fillId="2" borderId="15" xfId="0" applyFont="1" applyFill="1" applyBorder="1" applyAlignment="1" applyProtection="1">
      <alignment horizontal="right"/>
    </xf>
    <xf numFmtId="0" fontId="8" fillId="2" borderId="14" xfId="0" applyFont="1" applyFill="1" applyBorder="1" applyProtection="1">
      <protection locked="0" hidden="1"/>
    </xf>
    <xf numFmtId="0" fontId="0" fillId="6" borderId="10" xfId="0" applyFill="1" applyBorder="1" applyAlignment="1" applyProtection="1">
      <alignment vertical="center"/>
    </xf>
    <xf numFmtId="0" fontId="0" fillId="3" borderId="10" xfId="0" applyFill="1" applyBorder="1" applyAlignment="1" applyProtection="1">
      <alignment vertical="center"/>
      <protection locked="0"/>
    </xf>
    <xf numFmtId="0" fontId="0" fillId="3" borderId="10" xfId="0" applyFill="1" applyBorder="1" applyAlignment="1" applyProtection="1">
      <alignment horizontal="center" vertical="center"/>
      <protection locked="0"/>
    </xf>
    <xf numFmtId="0" fontId="0" fillId="6" borderId="10" xfId="0" quotePrefix="1" applyFill="1" applyBorder="1" applyAlignment="1" applyProtection="1">
      <alignment vertical="center"/>
    </xf>
    <xf numFmtId="0" fontId="0" fillId="3" borderId="10" xfId="0" applyFill="1" applyBorder="1" applyProtection="1">
      <protection locked="0"/>
    </xf>
    <xf numFmtId="0" fontId="0" fillId="6" borderId="16" xfId="0" applyFill="1" applyBorder="1" applyProtection="1"/>
    <xf numFmtId="0" fontId="0" fillId="3" borderId="17" xfId="0" applyFill="1" applyBorder="1" applyProtection="1">
      <protection locked="0"/>
    </xf>
    <xf numFmtId="0" fontId="0" fillId="6" borderId="17" xfId="0" applyFill="1" applyBorder="1" applyProtection="1"/>
    <xf numFmtId="0" fontId="0" fillId="6" borderId="18" xfId="0" applyFill="1" applyBorder="1" applyProtection="1"/>
    <xf numFmtId="0" fontId="0" fillId="6" borderId="19" xfId="0" applyFill="1" applyBorder="1" applyProtection="1"/>
    <xf numFmtId="0" fontId="0" fillId="3" borderId="19" xfId="0" applyFill="1" applyBorder="1" applyProtection="1">
      <protection locked="0"/>
    </xf>
    <xf numFmtId="0" fontId="0" fillId="6" borderId="20" xfId="0" applyFill="1" applyBorder="1" applyProtection="1"/>
    <xf numFmtId="0" fontId="0" fillId="6" borderId="21" xfId="0" applyFill="1" applyBorder="1" applyProtection="1"/>
    <xf numFmtId="0" fontId="0" fillId="6" borderId="2" xfId="0" applyFill="1" applyBorder="1" applyProtection="1"/>
    <xf numFmtId="0" fontId="0" fillId="6" borderId="2" xfId="0" applyFill="1" applyBorder="1" applyAlignment="1" applyProtection="1">
      <alignment vertical="center"/>
    </xf>
    <xf numFmtId="0" fontId="0" fillId="3" borderId="2" xfId="0" applyFill="1" applyBorder="1" applyAlignment="1" applyProtection="1">
      <alignment vertical="center"/>
      <protection locked="0"/>
    </xf>
    <xf numFmtId="0" fontId="0" fillId="3" borderId="2" xfId="0" applyFill="1" applyBorder="1" applyAlignment="1" applyProtection="1">
      <alignment horizontal="center" vertical="center"/>
      <protection locked="0"/>
    </xf>
    <xf numFmtId="0" fontId="0" fillId="6" borderId="2" xfId="0" quotePrefix="1" applyFill="1" applyBorder="1" applyAlignment="1" applyProtection="1">
      <alignment vertical="center"/>
    </xf>
    <xf numFmtId="0" fontId="0" fillId="3" borderId="22" xfId="0" applyFill="1" applyBorder="1" applyProtection="1">
      <protection locked="0"/>
    </xf>
    <xf numFmtId="0" fontId="7" fillId="8" borderId="23" xfId="0" applyFont="1" applyFill="1" applyBorder="1" applyProtection="1"/>
    <xf numFmtId="0" fontId="7" fillId="8" borderId="24" xfId="0" applyFont="1" applyFill="1" applyBorder="1" applyProtection="1"/>
    <xf numFmtId="0" fontId="7" fillId="8" borderId="24" xfId="0" applyFont="1" applyFill="1" applyBorder="1" applyAlignment="1" applyProtection="1">
      <alignment vertical="center"/>
    </xf>
    <xf numFmtId="0" fontId="7" fillId="8" borderId="25" xfId="0" applyFont="1" applyFill="1" applyBorder="1" applyAlignment="1" applyProtection="1">
      <alignment vertical="center"/>
    </xf>
    <xf numFmtId="0" fontId="7" fillId="8" borderId="12" xfId="0" applyFont="1" applyFill="1" applyBorder="1" applyAlignment="1" applyProtection="1">
      <alignment horizontal="center" vertical="center"/>
    </xf>
    <xf numFmtId="0" fontId="7" fillId="8" borderId="15" xfId="0" applyFont="1" applyFill="1" applyBorder="1" applyAlignment="1" applyProtection="1">
      <alignment horizontal="center" vertical="center"/>
    </xf>
    <xf numFmtId="0" fontId="7" fillId="8" borderId="13" xfId="0" applyFont="1" applyFill="1" applyBorder="1" applyAlignment="1" applyProtection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Paramètres!$D$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167640</xdr:rowOff>
        </xdr:from>
        <xdr:to>
          <xdr:col>1</xdr:col>
          <xdr:colOff>1424940</xdr:colOff>
          <xdr:row>30</xdr:row>
          <xdr:rowOff>22860</xdr:rowOff>
        </xdr:to>
        <xdr:sp macro="" textlink="">
          <xdr:nvSpPr>
            <xdr:cNvPr id="1025" name="CaseValidation" descr="Validati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Je valide la liste ci-dessus</a:t>
              </a:r>
            </a:p>
          </xdr:txBody>
        </xdr:sp>
        <xdr:clientData/>
      </xdr:twoCellAnchor>
    </mc:Choice>
    <mc:Fallback/>
  </mc:AlternateContent>
  <xdr:twoCellAnchor editAs="absolute">
    <xdr:from>
      <xdr:col>0</xdr:col>
      <xdr:colOff>57150</xdr:colOff>
      <xdr:row>5</xdr:row>
      <xdr:rowOff>57150</xdr:rowOff>
    </xdr:from>
    <xdr:to>
      <xdr:col>0</xdr:col>
      <xdr:colOff>1961149</xdr:colOff>
      <xdr:row>6</xdr:row>
      <xdr:rowOff>125730</xdr:rowOff>
    </xdr:to>
    <xdr:sp macro="[0]!Controle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3340" y="1158240"/>
          <a:ext cx="1911619" cy="247650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BE" sz="1100"/>
            <a:t>Vérifier et Lister les Fichiers</a:t>
          </a:r>
        </a:p>
      </xdr:txBody>
    </xdr:sp>
    <xdr:clientData/>
  </xdr:twoCellAnchor>
  <xdr:twoCellAnchor editAs="absolute">
    <xdr:from>
      <xdr:col>0</xdr:col>
      <xdr:colOff>57150</xdr:colOff>
      <xdr:row>31</xdr:row>
      <xdr:rowOff>57150</xdr:rowOff>
    </xdr:from>
    <xdr:to>
      <xdr:col>0</xdr:col>
      <xdr:colOff>1961149</xdr:colOff>
      <xdr:row>32</xdr:row>
      <xdr:rowOff>133350</xdr:rowOff>
    </xdr:to>
    <xdr:sp macro="[0]!EcrireDsWrd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3340" y="5863590"/>
          <a:ext cx="1911619" cy="251460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2000" rIns="72000" rtlCol="0" anchor="ctr"/>
        <a:lstStyle/>
        <a:p>
          <a:pPr algn="ctr"/>
          <a:r>
            <a:rPr lang="fr-BE" sz="1100"/>
            <a:t>Créer le Fichier Table </a:t>
          </a:r>
          <a:r>
            <a:rPr lang="fr-BE" sz="1100" baseline="0"/>
            <a:t>Matières</a:t>
          </a:r>
          <a:endParaRPr lang="fr-BE" sz="1100"/>
        </a:p>
      </xdr:txBody>
    </xdr:sp>
    <xdr:clientData/>
  </xdr:twoCellAnchor>
  <xdr:twoCellAnchor editAs="absolute">
    <xdr:from>
      <xdr:col>0</xdr:col>
      <xdr:colOff>57150</xdr:colOff>
      <xdr:row>34</xdr:row>
      <xdr:rowOff>57150</xdr:rowOff>
    </xdr:from>
    <xdr:to>
      <xdr:col>0</xdr:col>
      <xdr:colOff>1961149</xdr:colOff>
      <xdr:row>35</xdr:row>
      <xdr:rowOff>133350</xdr:rowOff>
    </xdr:to>
    <xdr:sp macro="[0]!CombinerPDF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3340" y="6406515"/>
          <a:ext cx="1911619" cy="251460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BE" sz="1100"/>
            <a:t>Créer le Fichier final Compilé</a:t>
          </a:r>
        </a:p>
      </xdr:txBody>
    </xdr:sp>
    <xdr:clientData/>
  </xdr:twoCellAnchor>
  <xdr:twoCellAnchor editAs="absolute">
    <xdr:from>
      <xdr:col>0</xdr:col>
      <xdr:colOff>53340</xdr:colOff>
      <xdr:row>2</xdr:row>
      <xdr:rowOff>57150</xdr:rowOff>
    </xdr:from>
    <xdr:to>
      <xdr:col>0</xdr:col>
      <xdr:colOff>1981200</xdr:colOff>
      <xdr:row>3</xdr:row>
      <xdr:rowOff>125730</xdr:rowOff>
    </xdr:to>
    <xdr:sp macro="[0]!choixDossier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150" y="615315"/>
          <a:ext cx="1924050" cy="247650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BE" sz="1100"/>
            <a:t>Choisir le Dossier de base</a:t>
          </a:r>
        </a:p>
      </xdr:txBody>
    </xdr:sp>
    <xdr:clientData/>
  </xdr:twoCellAnchor>
  <xdr:twoCellAnchor editAs="absolute">
    <xdr:from>
      <xdr:col>5</xdr:col>
      <xdr:colOff>59056</xdr:colOff>
      <xdr:row>2</xdr:row>
      <xdr:rowOff>57150</xdr:rowOff>
    </xdr:from>
    <xdr:to>
      <xdr:col>6</xdr:col>
      <xdr:colOff>1697355</xdr:colOff>
      <xdr:row>3</xdr:row>
      <xdr:rowOff>133350</xdr:rowOff>
    </xdr:to>
    <xdr:sp macro="[0]!Paramètre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0770871" y="615315"/>
          <a:ext cx="1809749" cy="251460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BE" sz="1100"/>
            <a:t>Paramètres de l'Application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Personnalisé 1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2683C6"/>
      </a:hlink>
      <a:folHlink>
        <a:srgbClr val="124163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8659-7E35-4D5F-909F-3FE20FD97364}">
  <sheetPr codeName="Feuil1">
    <tabColor theme="5" tint="-0.499984740745262"/>
  </sheetPr>
  <dimension ref="A1:K36"/>
  <sheetViews>
    <sheetView tabSelected="1" workbookViewId="0">
      <selection activeCell="D1" sqref="D1"/>
    </sheetView>
  </sheetViews>
  <sheetFormatPr baseColWidth="10" defaultRowHeight="14.4" x14ac:dyDescent="0.3"/>
  <cols>
    <col min="1" max="1" width="29.88671875" style="5" customWidth="1"/>
    <col min="2" max="2" width="50.5546875" style="5" customWidth="1"/>
    <col min="3" max="3" width="54" style="5" customWidth="1"/>
    <col min="4" max="4" width="12.109375" style="5" customWidth="1"/>
    <col min="5" max="5" width="9.6640625" style="5" customWidth="1"/>
    <col min="6" max="6" width="2.5546875" style="5" customWidth="1"/>
    <col min="7" max="7" width="54" style="5" customWidth="1"/>
    <col min="8" max="8" width="45.77734375" style="5" customWidth="1"/>
    <col min="9" max="16384" width="11.5546875" style="5"/>
  </cols>
  <sheetData>
    <row r="1" spans="1:11" ht="30" thickBot="1" x14ac:dyDescent="0.5">
      <c r="B1" s="23" t="s">
        <v>97</v>
      </c>
      <c r="C1" s="24" t="s">
        <v>98</v>
      </c>
    </row>
    <row r="3" spans="1:11" x14ac:dyDescent="0.3">
      <c r="A3" s="7"/>
      <c r="B3" s="13" t="s">
        <v>72</v>
      </c>
      <c r="C3" s="14"/>
      <c r="D3" s="14"/>
      <c r="E3" s="15"/>
      <c r="F3" s="9"/>
      <c r="G3" s="11"/>
    </row>
    <row r="4" spans="1:11" x14ac:dyDescent="0.3">
      <c r="A4" s="8"/>
      <c r="B4" s="1"/>
      <c r="C4" s="2"/>
      <c r="D4" s="2"/>
      <c r="E4" s="3"/>
      <c r="F4" s="10"/>
      <c r="G4" s="12"/>
    </row>
    <row r="6" spans="1:11" x14ac:dyDescent="0.3">
      <c r="A6" s="9"/>
      <c r="B6" s="13" t="s">
        <v>49</v>
      </c>
      <c r="C6" s="14"/>
      <c r="D6" s="14"/>
      <c r="E6" s="15"/>
      <c r="G6" s="16" t="s">
        <v>32</v>
      </c>
      <c r="H6" s="16"/>
    </row>
    <row r="7" spans="1:11" x14ac:dyDescent="0.3">
      <c r="A7" s="10"/>
      <c r="B7" s="17" t="s">
        <v>1</v>
      </c>
      <c r="C7" s="17" t="s">
        <v>0</v>
      </c>
      <c r="D7" s="18">
        <f>SUM(D8:D29)</f>
        <v>0</v>
      </c>
      <c r="E7" s="17" t="s">
        <v>31</v>
      </c>
      <c r="G7" s="17" t="s">
        <v>0</v>
      </c>
      <c r="H7" s="17" t="s">
        <v>48</v>
      </c>
    </row>
    <row r="8" spans="1:11" x14ac:dyDescent="0.3">
      <c r="A8" s="19" t="str">
        <f>IF(B8&lt;&gt;"",(ROW(B8))-ROW($B$7)&amp;". ","")</f>
        <v/>
      </c>
      <c r="B8" s="4"/>
      <c r="C8" s="4"/>
      <c r="D8" s="22"/>
      <c r="E8" s="22" t="str">
        <f>IF(D8="","",1)</f>
        <v/>
      </c>
      <c r="F8" s="25"/>
      <c r="G8" s="4"/>
      <c r="H8" s="4"/>
      <c r="K8" s="26" t="str">
        <f>IF(A8="","",A8&amp;C8&amp;" (p."&amp;E8&amp;"/"&amp;$D$7&amp;")")</f>
        <v/>
      </c>
    </row>
    <row r="9" spans="1:11" x14ac:dyDescent="0.3">
      <c r="A9" s="20" t="str">
        <f t="shared" ref="A9:A29" si="0">IF(B9&lt;&gt;"",(ROW(B9))-ROW($B$7)&amp;". ","")</f>
        <v/>
      </c>
      <c r="B9" s="4"/>
      <c r="C9" s="4"/>
      <c r="D9" s="22"/>
      <c r="E9" s="22" t="str">
        <f>IF(D9="","",IFERROR(D8+E8,""))</f>
        <v/>
      </c>
      <c r="F9" s="25"/>
      <c r="G9" s="4"/>
      <c r="H9" s="4"/>
      <c r="K9" s="26" t="str">
        <f t="shared" ref="K9:K28" si="1">IF(A9="","",A9&amp;C9&amp;" (p."&amp;E9&amp;"/"&amp;$D$7&amp;")")</f>
        <v/>
      </c>
    </row>
    <row r="10" spans="1:11" x14ac:dyDescent="0.3">
      <c r="A10" s="20" t="str">
        <f t="shared" si="0"/>
        <v/>
      </c>
      <c r="B10" s="4"/>
      <c r="C10" s="4"/>
      <c r="D10" s="22"/>
      <c r="E10" s="22" t="str">
        <f>IF(D10="","",IFERROR(D9+E9,""))</f>
        <v/>
      </c>
      <c r="F10" s="25"/>
      <c r="G10" s="4"/>
      <c r="H10" s="4"/>
      <c r="K10" s="26" t="str">
        <f t="shared" si="1"/>
        <v/>
      </c>
    </row>
    <row r="11" spans="1:11" x14ac:dyDescent="0.3">
      <c r="A11" s="20" t="str">
        <f t="shared" si="0"/>
        <v/>
      </c>
      <c r="B11" s="4"/>
      <c r="C11" s="4"/>
      <c r="D11" s="22"/>
      <c r="E11" s="22" t="str">
        <f t="shared" ref="E11:E29" si="2">IF(D11="","",IFERROR(D10+E10,""))</f>
        <v/>
      </c>
      <c r="F11" s="25"/>
      <c r="G11" s="4"/>
      <c r="H11" s="4"/>
      <c r="K11" s="26" t="str">
        <f t="shared" si="1"/>
        <v/>
      </c>
    </row>
    <row r="12" spans="1:11" x14ac:dyDescent="0.3">
      <c r="A12" s="20" t="str">
        <f t="shared" si="0"/>
        <v/>
      </c>
      <c r="B12" s="4"/>
      <c r="C12" s="4"/>
      <c r="D12" s="22"/>
      <c r="E12" s="22" t="str">
        <f t="shared" si="2"/>
        <v/>
      </c>
      <c r="F12" s="25"/>
      <c r="G12" s="4"/>
      <c r="H12" s="4"/>
      <c r="K12" s="26" t="str">
        <f t="shared" si="1"/>
        <v/>
      </c>
    </row>
    <row r="13" spans="1:11" x14ac:dyDescent="0.3">
      <c r="A13" s="20" t="str">
        <f t="shared" si="0"/>
        <v/>
      </c>
      <c r="B13" s="4"/>
      <c r="C13" s="4"/>
      <c r="D13" s="22"/>
      <c r="E13" s="22" t="str">
        <f t="shared" si="2"/>
        <v/>
      </c>
      <c r="F13" s="25"/>
      <c r="G13" s="4"/>
      <c r="H13" s="4"/>
      <c r="K13" s="26" t="str">
        <f t="shared" si="1"/>
        <v/>
      </c>
    </row>
    <row r="14" spans="1:11" x14ac:dyDescent="0.3">
      <c r="A14" s="20" t="str">
        <f t="shared" si="0"/>
        <v/>
      </c>
      <c r="B14" s="4"/>
      <c r="C14" s="4"/>
      <c r="D14" s="22"/>
      <c r="E14" s="22" t="str">
        <f t="shared" si="2"/>
        <v/>
      </c>
      <c r="F14" s="25"/>
      <c r="G14" s="4"/>
      <c r="H14" s="4"/>
      <c r="K14" s="26" t="str">
        <f t="shared" si="1"/>
        <v/>
      </c>
    </row>
    <row r="15" spans="1:11" x14ac:dyDescent="0.3">
      <c r="A15" s="20" t="str">
        <f t="shared" si="0"/>
        <v/>
      </c>
      <c r="B15" s="4"/>
      <c r="C15" s="4"/>
      <c r="D15" s="22"/>
      <c r="E15" s="22" t="str">
        <f t="shared" si="2"/>
        <v/>
      </c>
      <c r="F15" s="25"/>
      <c r="G15" s="4"/>
      <c r="H15" s="4"/>
      <c r="K15" s="26" t="str">
        <f t="shared" si="1"/>
        <v/>
      </c>
    </row>
    <row r="16" spans="1:11" x14ac:dyDescent="0.3">
      <c r="A16" s="20" t="str">
        <f t="shared" si="0"/>
        <v/>
      </c>
      <c r="B16" s="4"/>
      <c r="C16" s="4"/>
      <c r="D16" s="22"/>
      <c r="E16" s="22" t="str">
        <f t="shared" si="2"/>
        <v/>
      </c>
      <c r="F16" s="25"/>
      <c r="G16" s="4"/>
      <c r="H16" s="4"/>
      <c r="K16" s="26" t="str">
        <f t="shared" si="1"/>
        <v/>
      </c>
    </row>
    <row r="17" spans="1:11" x14ac:dyDescent="0.3">
      <c r="A17" s="20" t="str">
        <f t="shared" si="0"/>
        <v/>
      </c>
      <c r="B17" s="4"/>
      <c r="C17" s="4"/>
      <c r="D17" s="22"/>
      <c r="E17" s="22" t="str">
        <f t="shared" si="2"/>
        <v/>
      </c>
      <c r="F17" s="25"/>
      <c r="G17" s="4"/>
      <c r="H17" s="4"/>
      <c r="K17" s="26" t="str">
        <f t="shared" si="1"/>
        <v/>
      </c>
    </row>
    <row r="18" spans="1:11" x14ac:dyDescent="0.3">
      <c r="A18" s="20" t="str">
        <f t="shared" si="0"/>
        <v/>
      </c>
      <c r="B18" s="4"/>
      <c r="C18" s="4"/>
      <c r="D18" s="22"/>
      <c r="E18" s="22" t="str">
        <f t="shared" si="2"/>
        <v/>
      </c>
      <c r="F18" s="25"/>
      <c r="G18" s="4"/>
      <c r="H18" s="4"/>
      <c r="K18" s="26" t="str">
        <f t="shared" si="1"/>
        <v/>
      </c>
    </row>
    <row r="19" spans="1:11" x14ac:dyDescent="0.3">
      <c r="A19" s="20" t="str">
        <f t="shared" si="0"/>
        <v/>
      </c>
      <c r="B19" s="4"/>
      <c r="C19" s="4"/>
      <c r="D19" s="22"/>
      <c r="E19" s="22" t="str">
        <f t="shared" si="2"/>
        <v/>
      </c>
      <c r="F19" s="25"/>
      <c r="G19" s="4"/>
      <c r="H19" s="4"/>
      <c r="K19" s="26" t="str">
        <f t="shared" si="1"/>
        <v/>
      </c>
    </row>
    <row r="20" spans="1:11" x14ac:dyDescent="0.3">
      <c r="A20" s="20" t="str">
        <f t="shared" si="0"/>
        <v/>
      </c>
      <c r="B20" s="4"/>
      <c r="C20" s="4"/>
      <c r="D20" s="22"/>
      <c r="E20" s="22" t="str">
        <f t="shared" si="2"/>
        <v/>
      </c>
      <c r="F20" s="25"/>
      <c r="G20" s="4"/>
      <c r="H20" s="4"/>
      <c r="K20" s="26" t="str">
        <f t="shared" si="1"/>
        <v/>
      </c>
    </row>
    <row r="21" spans="1:11" x14ac:dyDescent="0.3">
      <c r="A21" s="20" t="str">
        <f t="shared" si="0"/>
        <v/>
      </c>
      <c r="B21" s="4"/>
      <c r="C21" s="4"/>
      <c r="D21" s="22"/>
      <c r="E21" s="22" t="str">
        <f t="shared" si="2"/>
        <v/>
      </c>
      <c r="F21" s="25"/>
      <c r="G21" s="4"/>
      <c r="H21" s="4"/>
      <c r="K21" s="26" t="str">
        <f t="shared" si="1"/>
        <v/>
      </c>
    </row>
    <row r="22" spans="1:11" x14ac:dyDescent="0.3">
      <c r="A22" s="20" t="str">
        <f t="shared" si="0"/>
        <v/>
      </c>
      <c r="B22" s="4"/>
      <c r="C22" s="4"/>
      <c r="D22" s="22"/>
      <c r="E22" s="22" t="str">
        <f t="shared" si="2"/>
        <v/>
      </c>
      <c r="F22" s="25"/>
      <c r="G22" s="4"/>
      <c r="H22" s="4"/>
      <c r="K22" s="26" t="str">
        <f t="shared" si="1"/>
        <v/>
      </c>
    </row>
    <row r="23" spans="1:11" x14ac:dyDescent="0.3">
      <c r="A23" s="20" t="str">
        <f t="shared" si="0"/>
        <v/>
      </c>
      <c r="B23" s="4"/>
      <c r="C23" s="4"/>
      <c r="D23" s="22"/>
      <c r="E23" s="22" t="str">
        <f t="shared" si="2"/>
        <v/>
      </c>
      <c r="F23" s="25"/>
      <c r="G23" s="4"/>
      <c r="H23" s="4"/>
      <c r="K23" s="26" t="str">
        <f t="shared" si="1"/>
        <v/>
      </c>
    </row>
    <row r="24" spans="1:11" x14ac:dyDescent="0.3">
      <c r="A24" s="20" t="str">
        <f t="shared" si="0"/>
        <v/>
      </c>
      <c r="B24" s="4"/>
      <c r="C24" s="4"/>
      <c r="D24" s="22"/>
      <c r="E24" s="22" t="str">
        <f t="shared" si="2"/>
        <v/>
      </c>
      <c r="F24" s="25"/>
      <c r="G24" s="4"/>
      <c r="H24" s="4"/>
      <c r="K24" s="26" t="str">
        <f t="shared" si="1"/>
        <v/>
      </c>
    </row>
    <row r="25" spans="1:11" x14ac:dyDescent="0.3">
      <c r="A25" s="20" t="str">
        <f t="shared" si="0"/>
        <v/>
      </c>
      <c r="B25" s="4"/>
      <c r="C25" s="4"/>
      <c r="D25" s="22"/>
      <c r="E25" s="22" t="str">
        <f t="shared" si="2"/>
        <v/>
      </c>
      <c r="F25" s="25"/>
      <c r="G25" s="4"/>
      <c r="H25" s="4"/>
      <c r="K25" s="26" t="str">
        <f t="shared" si="1"/>
        <v/>
      </c>
    </row>
    <row r="26" spans="1:11" x14ac:dyDescent="0.3">
      <c r="A26" s="20" t="str">
        <f t="shared" si="0"/>
        <v/>
      </c>
      <c r="B26" s="4"/>
      <c r="C26" s="4"/>
      <c r="D26" s="22"/>
      <c r="E26" s="22" t="str">
        <f t="shared" si="2"/>
        <v/>
      </c>
      <c r="F26" s="25"/>
      <c r="G26" s="4"/>
      <c r="H26" s="4"/>
      <c r="K26" s="26" t="str">
        <f t="shared" si="1"/>
        <v/>
      </c>
    </row>
    <row r="27" spans="1:11" x14ac:dyDescent="0.3">
      <c r="A27" s="20" t="str">
        <f t="shared" si="0"/>
        <v/>
      </c>
      <c r="B27" s="4"/>
      <c r="C27" s="4"/>
      <c r="D27" s="22"/>
      <c r="E27" s="22" t="str">
        <f t="shared" si="2"/>
        <v/>
      </c>
      <c r="F27" s="25"/>
      <c r="G27" s="4"/>
      <c r="H27" s="4"/>
      <c r="K27" s="26" t="str">
        <f t="shared" si="1"/>
        <v/>
      </c>
    </row>
    <row r="28" spans="1:11" x14ac:dyDescent="0.3">
      <c r="A28" s="20" t="str">
        <f t="shared" si="0"/>
        <v/>
      </c>
      <c r="B28" s="4"/>
      <c r="C28" s="4"/>
      <c r="D28" s="22"/>
      <c r="E28" s="22" t="str">
        <f t="shared" si="2"/>
        <v/>
      </c>
      <c r="F28" s="25"/>
      <c r="G28" s="4"/>
      <c r="H28" s="4"/>
      <c r="K28" s="26" t="str">
        <f t="shared" si="1"/>
        <v/>
      </c>
    </row>
    <row r="29" spans="1:11" x14ac:dyDescent="0.3">
      <c r="A29" s="21" t="str">
        <f t="shared" si="0"/>
        <v/>
      </c>
      <c r="B29" s="4"/>
      <c r="C29" s="4"/>
      <c r="D29" s="22"/>
      <c r="E29" s="22" t="str">
        <f t="shared" si="2"/>
        <v/>
      </c>
      <c r="F29" s="25"/>
      <c r="G29" s="4"/>
      <c r="H29" s="4"/>
      <c r="K29" s="26" t="str">
        <f>IF(A29="","",A29&amp;C29&amp;" (p."&amp;E29&amp;"/"&amp;$D$7&amp;")")</f>
        <v/>
      </c>
    </row>
    <row r="30" spans="1:11" x14ac:dyDescent="0.3">
      <c r="A30" s="6"/>
    </row>
    <row r="32" spans="1:11" x14ac:dyDescent="0.3">
      <c r="A32" s="9"/>
      <c r="B32" s="13" t="s">
        <v>74</v>
      </c>
      <c r="C32" s="14"/>
      <c r="D32" s="14"/>
      <c r="E32" s="15"/>
    </row>
    <row r="33" spans="1:5" x14ac:dyDescent="0.3">
      <c r="A33" s="10"/>
      <c r="B33" s="27"/>
      <c r="C33" s="2"/>
      <c r="D33" s="2"/>
      <c r="E33" s="3"/>
    </row>
    <row r="35" spans="1:5" x14ac:dyDescent="0.3">
      <c r="A35" s="9"/>
      <c r="B35" s="13" t="s">
        <v>50</v>
      </c>
      <c r="C35" s="14"/>
      <c r="D35" s="14"/>
      <c r="E35" s="15"/>
    </row>
    <row r="36" spans="1:5" x14ac:dyDescent="0.3">
      <c r="A36" s="10"/>
      <c r="B36" s="27"/>
      <c r="C36" s="2"/>
      <c r="D36" s="2"/>
      <c r="E36" s="3"/>
    </row>
  </sheetData>
  <sheetProtection algorithmName="SHA-512" hashValue="CGM+wrtCtNFeYIDoPBvrl2K1r7/eT5dlgXNhi/oTM1Ipco0pIak2c9/6Pa8A5t+cTIAPbTJoeVWFcxaXNlqHBQ==" saltValue="k2snTGwR22qry/kU2TNF6A==" spinCount="100000" sheet="1" objects="1" scenarios="1" insertHyperlinks="0" selectLockedCells="1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aseValidation">
              <controlPr defaultSize="0" autoFill="0" autoLine="0" autoPict="0" altText="Validation">
                <anchor moveWithCells="1">
                  <from>
                    <xdr:col>1</xdr:col>
                    <xdr:colOff>0</xdr:colOff>
                    <xdr:row>28</xdr:row>
                    <xdr:rowOff>167640</xdr:rowOff>
                  </from>
                  <to>
                    <xdr:col>1</xdr:col>
                    <xdr:colOff>1424940</xdr:colOff>
                    <xdr:row>30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77E9F-3AC5-49BC-B44C-847B0BCB0DD8}">
  <sheetPr codeName="Feuil2">
    <tabColor theme="5" tint="0.39997558519241921"/>
  </sheetPr>
  <dimension ref="A1:O30"/>
  <sheetViews>
    <sheetView workbookViewId="0">
      <selection activeCell="D6" sqref="D6"/>
    </sheetView>
  </sheetViews>
  <sheetFormatPr baseColWidth="10" defaultRowHeight="14.4" x14ac:dyDescent="0.3"/>
  <cols>
    <col min="1" max="1" width="7.88671875" style="28" customWidth="1"/>
    <col min="2" max="2" width="9.109375" style="28" customWidth="1"/>
    <col min="3" max="3" width="14.21875" style="28" customWidth="1"/>
    <col min="4" max="4" width="15.109375" style="28" bestFit="1" customWidth="1"/>
    <col min="5" max="5" width="25.44140625" style="28" bestFit="1" customWidth="1"/>
    <col min="6" max="6" width="15.77734375" style="28" bestFit="1" customWidth="1"/>
    <col min="7" max="7" width="51" style="28" customWidth="1"/>
    <col min="8" max="8" width="8.21875" style="28" bestFit="1" customWidth="1"/>
    <col min="9" max="9" width="28.77734375" style="28" customWidth="1"/>
    <col min="10" max="10" width="8.21875" style="28" bestFit="1" customWidth="1"/>
    <col min="11" max="11" width="9.44140625" style="28" bestFit="1" customWidth="1"/>
    <col min="12" max="12" width="55.5546875" style="28" customWidth="1"/>
    <col min="13" max="13" width="11.5546875" style="29"/>
    <col min="14" max="14" width="11.5546875" style="30"/>
    <col min="15" max="15" width="11.5546875" style="29"/>
    <col min="16" max="16384" width="11.5546875" style="28"/>
  </cols>
  <sheetData>
    <row r="1" spans="1:14" ht="15" thickBot="1" x14ac:dyDescent="0.35">
      <c r="A1" s="31"/>
      <c r="B1" s="32"/>
      <c r="C1" s="33" t="s">
        <v>96</v>
      </c>
      <c r="D1" s="34" t="b">
        <v>0</v>
      </c>
    </row>
    <row r="2" spans="1:14" ht="15" thickBot="1" x14ac:dyDescent="0.35"/>
    <row r="3" spans="1:14" ht="15" thickBot="1" x14ac:dyDescent="0.35">
      <c r="H3" s="58" t="s">
        <v>16</v>
      </c>
      <c r="I3" s="59"/>
      <c r="J3" s="59"/>
      <c r="K3" s="60"/>
    </row>
    <row r="4" spans="1:14" ht="15" thickBot="1" x14ac:dyDescent="0.35">
      <c r="B4" s="54" t="s">
        <v>47</v>
      </c>
      <c r="C4" s="55" t="s">
        <v>2</v>
      </c>
      <c r="D4" s="55" t="s">
        <v>4</v>
      </c>
      <c r="E4" s="56" t="s">
        <v>13</v>
      </c>
      <c r="F4" s="56" t="s">
        <v>14</v>
      </c>
      <c r="G4" s="56" t="s">
        <v>15</v>
      </c>
      <c r="H4" s="56" t="s">
        <v>33</v>
      </c>
      <c r="I4" s="56" t="s">
        <v>35</v>
      </c>
      <c r="J4" s="56" t="s">
        <v>33</v>
      </c>
      <c r="K4" s="56" t="s">
        <v>34</v>
      </c>
      <c r="L4" s="57" t="s">
        <v>17</v>
      </c>
    </row>
    <row r="5" spans="1:14" x14ac:dyDescent="0.3">
      <c r="B5" s="47">
        <v>0</v>
      </c>
      <c r="C5" s="48" t="s">
        <v>3</v>
      </c>
      <c r="D5" s="48" t="s">
        <v>5</v>
      </c>
      <c r="E5" s="49" t="s">
        <v>6</v>
      </c>
      <c r="F5" s="49">
        <v>2020</v>
      </c>
      <c r="G5" s="50" t="s">
        <v>7</v>
      </c>
      <c r="H5" s="49" t="s">
        <v>73</v>
      </c>
      <c r="I5" s="51" t="s">
        <v>36</v>
      </c>
      <c r="J5" s="52" t="s">
        <v>73</v>
      </c>
      <c r="K5" s="48" t="s">
        <v>61</v>
      </c>
      <c r="L5" s="53" t="s">
        <v>19</v>
      </c>
      <c r="N5" s="30" t="s">
        <v>80</v>
      </c>
    </row>
    <row r="6" spans="1:14" x14ac:dyDescent="0.3">
      <c r="B6" s="40">
        <v>1</v>
      </c>
      <c r="C6" s="16" t="s">
        <v>3</v>
      </c>
      <c r="D6" s="16" t="s">
        <v>5</v>
      </c>
      <c r="E6" s="35" t="s">
        <v>6</v>
      </c>
      <c r="F6" s="35">
        <v>2020</v>
      </c>
      <c r="G6" s="36" t="s">
        <v>8</v>
      </c>
      <c r="H6" s="35" t="s">
        <v>73</v>
      </c>
      <c r="I6" s="37" t="s">
        <v>37</v>
      </c>
      <c r="J6" s="38" t="s">
        <v>73</v>
      </c>
      <c r="K6" s="16" t="s">
        <v>61</v>
      </c>
      <c r="L6" s="41" t="s">
        <v>18</v>
      </c>
      <c r="N6" s="30" t="s">
        <v>95</v>
      </c>
    </row>
    <row r="7" spans="1:14" x14ac:dyDescent="0.3">
      <c r="B7" s="40">
        <v>2</v>
      </c>
      <c r="C7" s="16" t="s">
        <v>3</v>
      </c>
      <c r="D7" s="16" t="s">
        <v>5</v>
      </c>
      <c r="E7" s="35" t="s">
        <v>6</v>
      </c>
      <c r="F7" s="35">
        <v>2020</v>
      </c>
      <c r="G7" s="36" t="s">
        <v>8</v>
      </c>
      <c r="H7" s="35" t="s">
        <v>73</v>
      </c>
      <c r="I7" s="37" t="s">
        <v>38</v>
      </c>
      <c r="J7" s="38" t="s">
        <v>73</v>
      </c>
      <c r="K7" s="16" t="s">
        <v>61</v>
      </c>
      <c r="L7" s="41" t="s">
        <v>30</v>
      </c>
      <c r="N7" s="30" t="s">
        <v>81</v>
      </c>
    </row>
    <row r="8" spans="1:14" x14ac:dyDescent="0.3">
      <c r="B8" s="40">
        <v>3</v>
      </c>
      <c r="C8" s="16" t="s">
        <v>3</v>
      </c>
      <c r="D8" s="16" t="s">
        <v>5</v>
      </c>
      <c r="E8" s="35" t="s">
        <v>6</v>
      </c>
      <c r="F8" s="35">
        <v>2020</v>
      </c>
      <c r="G8" s="36" t="s">
        <v>9</v>
      </c>
      <c r="H8" s="35" t="s">
        <v>73</v>
      </c>
      <c r="I8" s="37" t="s">
        <v>39</v>
      </c>
      <c r="J8" s="38" t="s">
        <v>73</v>
      </c>
      <c r="K8" s="16" t="s">
        <v>61</v>
      </c>
      <c r="L8" s="41" t="s">
        <v>20</v>
      </c>
      <c r="N8" s="30" t="s">
        <v>82</v>
      </c>
    </row>
    <row r="9" spans="1:14" x14ac:dyDescent="0.3">
      <c r="B9" s="40">
        <v>4</v>
      </c>
      <c r="C9" s="16" t="s">
        <v>3</v>
      </c>
      <c r="D9" s="16" t="s">
        <v>5</v>
      </c>
      <c r="E9" s="35" t="s">
        <v>6</v>
      </c>
      <c r="F9" s="35">
        <v>2020</v>
      </c>
      <c r="G9" s="36" t="s">
        <v>9</v>
      </c>
      <c r="H9" s="35" t="s">
        <v>73</v>
      </c>
      <c r="I9" s="37" t="s">
        <v>40</v>
      </c>
      <c r="J9" s="38" t="s">
        <v>73</v>
      </c>
      <c r="K9" s="16" t="s">
        <v>61</v>
      </c>
      <c r="L9" s="41" t="s">
        <v>29</v>
      </c>
      <c r="N9" s="30" t="s">
        <v>83</v>
      </c>
    </row>
    <row r="10" spans="1:14" x14ac:dyDescent="0.3">
      <c r="B10" s="40">
        <v>5</v>
      </c>
      <c r="C10" s="16" t="s">
        <v>3</v>
      </c>
      <c r="D10" s="16" t="s">
        <v>5</v>
      </c>
      <c r="E10" s="35" t="s">
        <v>6</v>
      </c>
      <c r="F10" s="35">
        <v>2020</v>
      </c>
      <c r="G10" s="36" t="s">
        <v>10</v>
      </c>
      <c r="H10" s="35" t="s">
        <v>73</v>
      </c>
      <c r="I10" s="37" t="s">
        <v>41</v>
      </c>
      <c r="J10" s="38" t="s">
        <v>73</v>
      </c>
      <c r="K10" s="16" t="s">
        <v>61</v>
      </c>
      <c r="L10" s="41" t="s">
        <v>21</v>
      </c>
      <c r="N10" s="30" t="s">
        <v>84</v>
      </c>
    </row>
    <row r="11" spans="1:14" x14ac:dyDescent="0.3">
      <c r="B11" s="40">
        <v>6</v>
      </c>
      <c r="C11" s="16" t="s">
        <v>3</v>
      </c>
      <c r="D11" s="16" t="s">
        <v>5</v>
      </c>
      <c r="E11" s="35" t="s">
        <v>6</v>
      </c>
      <c r="F11" s="35">
        <v>2020</v>
      </c>
      <c r="G11" s="36" t="s">
        <v>9</v>
      </c>
      <c r="H11" s="35" t="s">
        <v>73</v>
      </c>
      <c r="I11" s="37" t="s">
        <v>64</v>
      </c>
      <c r="J11" s="38" t="s">
        <v>73</v>
      </c>
      <c r="K11" s="16" t="s">
        <v>61</v>
      </c>
      <c r="L11" s="41" t="s">
        <v>28</v>
      </c>
      <c r="N11" s="30" t="s">
        <v>85</v>
      </c>
    </row>
    <row r="12" spans="1:14" x14ac:dyDescent="0.3">
      <c r="B12" s="40">
        <v>7</v>
      </c>
      <c r="C12" s="16" t="s">
        <v>3</v>
      </c>
      <c r="D12" s="16" t="s">
        <v>5</v>
      </c>
      <c r="E12" s="35" t="s">
        <v>6</v>
      </c>
      <c r="F12" s="35">
        <v>2020</v>
      </c>
      <c r="G12" s="36" t="s">
        <v>9</v>
      </c>
      <c r="H12" s="35" t="s">
        <v>73</v>
      </c>
      <c r="I12" s="37" t="s">
        <v>65</v>
      </c>
      <c r="J12" s="38" t="s">
        <v>73</v>
      </c>
      <c r="K12" s="16" t="s">
        <v>61</v>
      </c>
      <c r="L12" s="41" t="s">
        <v>28</v>
      </c>
      <c r="N12" s="30" t="s">
        <v>86</v>
      </c>
    </row>
    <row r="13" spans="1:14" x14ac:dyDescent="0.3">
      <c r="B13" s="40">
        <v>8</v>
      </c>
      <c r="C13" s="16" t="s">
        <v>3</v>
      </c>
      <c r="D13" s="16" t="s">
        <v>5</v>
      </c>
      <c r="E13" s="35" t="s">
        <v>6</v>
      </c>
      <c r="F13" s="35">
        <v>2020</v>
      </c>
      <c r="G13" s="36" t="s">
        <v>9</v>
      </c>
      <c r="H13" s="35" t="s">
        <v>73</v>
      </c>
      <c r="I13" s="37" t="s">
        <v>66</v>
      </c>
      <c r="J13" s="38" t="s">
        <v>73</v>
      </c>
      <c r="K13" s="16" t="s">
        <v>61</v>
      </c>
      <c r="L13" s="41" t="s">
        <v>28</v>
      </c>
      <c r="N13" s="30" t="s">
        <v>87</v>
      </c>
    </row>
    <row r="14" spans="1:14" x14ac:dyDescent="0.3">
      <c r="B14" s="40">
        <v>9</v>
      </c>
      <c r="C14" s="16" t="s">
        <v>3</v>
      </c>
      <c r="D14" s="16" t="s">
        <v>5</v>
      </c>
      <c r="E14" s="35" t="s">
        <v>6</v>
      </c>
      <c r="F14" s="35">
        <v>2020</v>
      </c>
      <c r="G14" s="36" t="s">
        <v>9</v>
      </c>
      <c r="H14" s="35" t="s">
        <v>73</v>
      </c>
      <c r="I14" s="37" t="s">
        <v>67</v>
      </c>
      <c r="J14" s="38" t="s">
        <v>73</v>
      </c>
      <c r="K14" s="16" t="s">
        <v>61</v>
      </c>
      <c r="L14" s="41" t="s">
        <v>28</v>
      </c>
      <c r="N14" s="30" t="s">
        <v>88</v>
      </c>
    </row>
    <row r="15" spans="1:14" x14ac:dyDescent="0.3">
      <c r="B15" s="40">
        <v>10</v>
      </c>
      <c r="C15" s="16" t="s">
        <v>3</v>
      </c>
      <c r="D15" s="16" t="s">
        <v>5</v>
      </c>
      <c r="E15" s="35" t="s">
        <v>6</v>
      </c>
      <c r="F15" s="35">
        <v>2020</v>
      </c>
      <c r="G15" s="36" t="s">
        <v>9</v>
      </c>
      <c r="H15" s="35" t="s">
        <v>73</v>
      </c>
      <c r="I15" s="37" t="s">
        <v>68</v>
      </c>
      <c r="J15" s="38" t="s">
        <v>73</v>
      </c>
      <c r="K15" s="16" t="s">
        <v>61</v>
      </c>
      <c r="L15" s="41" t="s">
        <v>28</v>
      </c>
    </row>
    <row r="16" spans="1:14" x14ac:dyDescent="0.3">
      <c r="B16" s="40">
        <v>11</v>
      </c>
      <c r="C16" s="16" t="s">
        <v>3</v>
      </c>
      <c r="D16" s="16" t="s">
        <v>5</v>
      </c>
      <c r="E16" s="35" t="s">
        <v>6</v>
      </c>
      <c r="F16" s="35">
        <v>2020</v>
      </c>
      <c r="G16" s="36" t="s">
        <v>9</v>
      </c>
      <c r="H16" s="35" t="s">
        <v>73</v>
      </c>
      <c r="I16" s="37" t="s">
        <v>69</v>
      </c>
      <c r="J16" s="38" t="s">
        <v>73</v>
      </c>
      <c r="K16" s="16" t="s">
        <v>61</v>
      </c>
      <c r="L16" s="41" t="s">
        <v>28</v>
      </c>
    </row>
    <row r="17" spans="2:14" x14ac:dyDescent="0.3">
      <c r="B17" s="40">
        <v>12</v>
      </c>
      <c r="C17" s="16" t="s">
        <v>3</v>
      </c>
      <c r="D17" s="16" t="s">
        <v>5</v>
      </c>
      <c r="E17" s="35" t="s">
        <v>6</v>
      </c>
      <c r="F17" s="35">
        <v>2020</v>
      </c>
      <c r="G17" s="36" t="s">
        <v>9</v>
      </c>
      <c r="H17" s="35" t="s">
        <v>73</v>
      </c>
      <c r="I17" s="37" t="s">
        <v>70</v>
      </c>
      <c r="J17" s="38" t="s">
        <v>73</v>
      </c>
      <c r="K17" s="16" t="s">
        <v>61</v>
      </c>
      <c r="L17" s="41" t="s">
        <v>28</v>
      </c>
    </row>
    <row r="18" spans="2:14" x14ac:dyDescent="0.3">
      <c r="B18" s="40">
        <v>13</v>
      </c>
      <c r="C18" s="16" t="s">
        <v>3</v>
      </c>
      <c r="D18" s="16" t="s">
        <v>5</v>
      </c>
      <c r="E18" s="35" t="s">
        <v>6</v>
      </c>
      <c r="F18" s="35">
        <v>2020</v>
      </c>
      <c r="G18" s="36" t="s">
        <v>9</v>
      </c>
      <c r="H18" s="35" t="s">
        <v>73</v>
      </c>
      <c r="I18" s="37" t="s">
        <v>71</v>
      </c>
      <c r="J18" s="38" t="s">
        <v>73</v>
      </c>
      <c r="K18" s="16" t="s">
        <v>61</v>
      </c>
      <c r="L18" s="41" t="s">
        <v>28</v>
      </c>
    </row>
    <row r="19" spans="2:14" x14ac:dyDescent="0.3">
      <c r="B19" s="40">
        <v>14</v>
      </c>
      <c r="C19" s="16" t="s">
        <v>3</v>
      </c>
      <c r="D19" s="16" t="s">
        <v>5</v>
      </c>
      <c r="E19" s="35" t="s">
        <v>6</v>
      </c>
      <c r="F19" s="35">
        <v>2020</v>
      </c>
      <c r="G19" s="36" t="s">
        <v>9</v>
      </c>
      <c r="H19" s="35" t="s">
        <v>73</v>
      </c>
      <c r="I19" s="37" t="s">
        <v>42</v>
      </c>
      <c r="J19" s="38" t="s">
        <v>73</v>
      </c>
      <c r="K19" s="16" t="s">
        <v>61</v>
      </c>
      <c r="L19" s="41" t="s">
        <v>27</v>
      </c>
    </row>
    <row r="20" spans="2:14" x14ac:dyDescent="0.3">
      <c r="B20" s="40">
        <v>15</v>
      </c>
      <c r="C20" s="16" t="s">
        <v>3</v>
      </c>
      <c r="D20" s="16" t="s">
        <v>5</v>
      </c>
      <c r="E20" s="35" t="s">
        <v>6</v>
      </c>
      <c r="F20" s="35">
        <v>2020</v>
      </c>
      <c r="G20" s="36" t="s">
        <v>11</v>
      </c>
      <c r="H20" s="35" t="s">
        <v>73</v>
      </c>
      <c r="I20" s="37" t="s">
        <v>43</v>
      </c>
      <c r="J20" s="38" t="s">
        <v>73</v>
      </c>
      <c r="K20" s="16" t="s">
        <v>61</v>
      </c>
      <c r="L20" s="41" t="s">
        <v>22</v>
      </c>
    </row>
    <row r="21" spans="2:14" x14ac:dyDescent="0.3">
      <c r="B21" s="40">
        <v>16</v>
      </c>
      <c r="C21" s="16" t="s">
        <v>3</v>
      </c>
      <c r="D21" s="16" t="s">
        <v>5</v>
      </c>
      <c r="E21" s="35" t="s">
        <v>6</v>
      </c>
      <c r="F21" s="35">
        <v>2020</v>
      </c>
      <c r="G21" s="36" t="s">
        <v>12</v>
      </c>
      <c r="H21" s="35" t="s">
        <v>73</v>
      </c>
      <c r="I21" s="37" t="s">
        <v>44</v>
      </c>
      <c r="J21" s="38" t="s">
        <v>73</v>
      </c>
      <c r="K21" s="16" t="s">
        <v>61</v>
      </c>
      <c r="L21" s="41" t="s">
        <v>23</v>
      </c>
      <c r="N21" s="30" t="s">
        <v>89</v>
      </c>
    </row>
    <row r="22" spans="2:14" x14ac:dyDescent="0.3">
      <c r="B22" s="40">
        <v>17</v>
      </c>
      <c r="C22" s="16" t="s">
        <v>3</v>
      </c>
      <c r="D22" s="16" t="s">
        <v>5</v>
      </c>
      <c r="E22" s="35" t="s">
        <v>6</v>
      </c>
      <c r="F22" s="35">
        <v>2020</v>
      </c>
      <c r="G22" s="36" t="s">
        <v>12</v>
      </c>
      <c r="H22" s="35" t="s">
        <v>73</v>
      </c>
      <c r="I22" s="37" t="s">
        <v>45</v>
      </c>
      <c r="J22" s="38" t="s">
        <v>73</v>
      </c>
      <c r="K22" s="16" t="s">
        <v>61</v>
      </c>
      <c r="L22" s="41" t="s">
        <v>24</v>
      </c>
      <c r="N22" s="30" t="s">
        <v>90</v>
      </c>
    </row>
    <row r="23" spans="2:14" x14ac:dyDescent="0.3">
      <c r="B23" s="40">
        <v>18</v>
      </c>
      <c r="C23" s="16" t="s">
        <v>3</v>
      </c>
      <c r="D23" s="16" t="s">
        <v>5</v>
      </c>
      <c r="E23" s="35" t="s">
        <v>6</v>
      </c>
      <c r="F23" s="35">
        <v>2020</v>
      </c>
      <c r="G23" s="36" t="s">
        <v>79</v>
      </c>
      <c r="H23" s="35" t="s">
        <v>73</v>
      </c>
      <c r="I23" s="37" t="s">
        <v>78</v>
      </c>
      <c r="J23" s="38" t="s">
        <v>73</v>
      </c>
      <c r="K23" s="16" t="s">
        <v>61</v>
      </c>
      <c r="L23" s="41" t="s">
        <v>25</v>
      </c>
      <c r="N23" s="30" t="s">
        <v>91</v>
      </c>
    </row>
    <row r="24" spans="2:14" x14ac:dyDescent="0.3">
      <c r="B24" s="40">
        <v>19</v>
      </c>
      <c r="C24" s="16" t="s">
        <v>3</v>
      </c>
      <c r="D24" s="16" t="s">
        <v>5</v>
      </c>
      <c r="E24" s="35" t="s">
        <v>6</v>
      </c>
      <c r="F24" s="35">
        <v>2020</v>
      </c>
      <c r="G24" s="36" t="s">
        <v>9</v>
      </c>
      <c r="H24" s="35" t="s">
        <v>73</v>
      </c>
      <c r="I24" s="37" t="s">
        <v>46</v>
      </c>
      <c r="J24" s="38" t="s">
        <v>73</v>
      </c>
      <c r="K24" s="16" t="s">
        <v>61</v>
      </c>
      <c r="L24" s="41" t="s">
        <v>26</v>
      </c>
      <c r="N24" s="30" t="s">
        <v>92</v>
      </c>
    </row>
    <row r="25" spans="2:14" x14ac:dyDescent="0.3">
      <c r="B25" s="40">
        <v>20</v>
      </c>
      <c r="C25" s="16" t="s">
        <v>3</v>
      </c>
      <c r="D25" s="16" t="s">
        <v>5</v>
      </c>
      <c r="E25" s="35" t="s">
        <v>6</v>
      </c>
      <c r="F25" s="35">
        <v>2020</v>
      </c>
      <c r="G25" s="36" t="s">
        <v>7</v>
      </c>
      <c r="H25" s="35" t="s">
        <v>73</v>
      </c>
      <c r="I25" s="37" t="s">
        <v>77</v>
      </c>
      <c r="J25" s="38" t="s">
        <v>73</v>
      </c>
      <c r="K25" s="16" t="s">
        <v>61</v>
      </c>
      <c r="L25" s="41" t="s">
        <v>52</v>
      </c>
      <c r="N25" s="30" t="s">
        <v>93</v>
      </c>
    </row>
    <row r="26" spans="2:14" x14ac:dyDescent="0.3">
      <c r="B26" s="40">
        <v>21</v>
      </c>
      <c r="C26" s="16" t="s">
        <v>3</v>
      </c>
      <c r="D26" s="16" t="s">
        <v>5</v>
      </c>
      <c r="E26" s="35" t="s">
        <v>6</v>
      </c>
      <c r="F26" s="35">
        <v>2020</v>
      </c>
      <c r="G26" s="36" t="s">
        <v>7</v>
      </c>
      <c r="H26" s="35" t="s">
        <v>73</v>
      </c>
      <c r="I26" s="37" t="s">
        <v>51</v>
      </c>
      <c r="J26" s="38" t="s">
        <v>73</v>
      </c>
      <c r="K26" s="16" t="s">
        <v>56</v>
      </c>
      <c r="L26" s="41" t="s">
        <v>53</v>
      </c>
      <c r="N26" s="30" t="s">
        <v>94</v>
      </c>
    </row>
    <row r="27" spans="2:14" x14ac:dyDescent="0.3">
      <c r="B27" s="40">
        <v>22</v>
      </c>
      <c r="C27" s="16" t="s">
        <v>3</v>
      </c>
      <c r="D27" s="16" t="s">
        <v>5</v>
      </c>
      <c r="E27" s="16" t="s">
        <v>6</v>
      </c>
      <c r="F27" s="16">
        <v>2020</v>
      </c>
      <c r="G27" s="39" t="s">
        <v>7</v>
      </c>
      <c r="H27" s="16" t="s">
        <v>54</v>
      </c>
      <c r="I27" s="37" t="s">
        <v>60</v>
      </c>
      <c r="J27" s="16" t="s">
        <v>54</v>
      </c>
      <c r="K27" s="16" t="s">
        <v>61</v>
      </c>
      <c r="L27" s="42" t="s">
        <v>58</v>
      </c>
    </row>
    <row r="28" spans="2:14" x14ac:dyDescent="0.3">
      <c r="B28" s="40">
        <v>23</v>
      </c>
      <c r="C28" s="16" t="s">
        <v>3</v>
      </c>
      <c r="D28" s="16" t="s">
        <v>5</v>
      </c>
      <c r="E28" s="16" t="s">
        <v>6</v>
      </c>
      <c r="F28" s="16">
        <v>2020</v>
      </c>
      <c r="G28" s="39" t="s">
        <v>7</v>
      </c>
      <c r="H28" s="16" t="s">
        <v>54</v>
      </c>
      <c r="I28" s="37" t="s">
        <v>63</v>
      </c>
      <c r="J28" s="16" t="s">
        <v>54</v>
      </c>
      <c r="K28" s="16" t="s">
        <v>61</v>
      </c>
      <c r="L28" s="42" t="s">
        <v>59</v>
      </c>
    </row>
    <row r="29" spans="2:14" x14ac:dyDescent="0.3">
      <c r="B29" s="40">
        <v>24</v>
      </c>
      <c r="C29" s="16" t="s">
        <v>54</v>
      </c>
      <c r="D29" s="16" t="s">
        <v>54</v>
      </c>
      <c r="E29" s="16" t="s">
        <v>54</v>
      </c>
      <c r="F29" s="16" t="s">
        <v>54</v>
      </c>
      <c r="G29" s="39" t="s">
        <v>76</v>
      </c>
      <c r="H29" s="16" t="s">
        <v>54</v>
      </c>
      <c r="I29" s="37" t="s">
        <v>55</v>
      </c>
      <c r="J29" s="16" t="s">
        <v>54</v>
      </c>
      <c r="K29" s="16" t="s">
        <v>56</v>
      </c>
      <c r="L29" s="42" t="s">
        <v>57</v>
      </c>
    </row>
    <row r="30" spans="2:14" ht="15" thickBot="1" x14ac:dyDescent="0.35">
      <c r="B30" s="43">
        <v>25</v>
      </c>
      <c r="C30" s="44" t="s">
        <v>54</v>
      </c>
      <c r="D30" s="44" t="s">
        <v>54</v>
      </c>
      <c r="E30" s="44" t="s">
        <v>54</v>
      </c>
      <c r="F30" s="44" t="s">
        <v>54</v>
      </c>
      <c r="G30" s="45" t="s">
        <v>75</v>
      </c>
      <c r="H30" s="44" t="s">
        <v>54</v>
      </c>
      <c r="I30" s="44" t="s">
        <v>54</v>
      </c>
      <c r="J30" s="44" t="s">
        <v>54</v>
      </c>
      <c r="K30" s="44" t="s">
        <v>54</v>
      </c>
      <c r="L30" s="46" t="s">
        <v>62</v>
      </c>
    </row>
  </sheetData>
  <sheetProtection selectLockedCells="1"/>
  <mergeCells count="1">
    <mergeCell ref="H3:K3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Application</vt:lpstr>
      <vt:lpstr>Paramètres</vt:lpstr>
      <vt:lpstr>Paramètres!_Hlk69048260</vt:lpstr>
      <vt:lpstr>Paramètres!_Hlk69048309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Restdays Msn</dc:creator>
  <cp:lastModifiedBy>warmichlive</cp:lastModifiedBy>
  <cp:lastPrinted>2021-04-15T07:09:08Z</cp:lastPrinted>
  <dcterms:created xsi:type="dcterms:W3CDTF">2021-04-07T12:18:35Z</dcterms:created>
  <dcterms:modified xsi:type="dcterms:W3CDTF">2021-08-26T21:42:26Z</dcterms:modified>
</cp:coreProperties>
</file>